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aibh\options-risk-engine\excel\"/>
    </mc:Choice>
  </mc:AlternateContent>
  <xr:revisionPtr revIDLastSave="0" documentId="13_ncr:1_{CEEA66AB-B840-4FFA-B1C6-C419EEFFEF9A}" xr6:coauthVersionLast="47" xr6:coauthVersionMax="47" xr10:uidLastSave="{00000000-0000-0000-0000-000000000000}"/>
  <bookViews>
    <workbookView xWindow="-108" yWindow="-108" windowWidth="23256" windowHeight="13896" activeTab="2" xr2:uid="{B7668291-A340-4F82-A7DE-C1B44CB2857F}"/>
  </bookViews>
  <sheets>
    <sheet name="Sheet1" sheetId="1" r:id="rId1"/>
    <sheet name="Report" sheetId="2" r:id="rId2"/>
    <sheet name="WhatIf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38" i="3" l="1"/>
  <c r="M38" i="3"/>
  <c r="L38" i="3"/>
  <c r="K38" i="3"/>
  <c r="K37" i="3"/>
  <c r="J37" i="3"/>
  <c r="I36" i="3"/>
  <c r="I35" i="3"/>
  <c r="I34" i="3"/>
  <c r="I33" i="3"/>
  <c r="I32" i="3"/>
  <c r="I31" i="3"/>
  <c r="I30" i="3"/>
  <c r="I29" i="3"/>
  <c r="K28" i="3"/>
  <c r="J28" i="3"/>
  <c r="I27" i="3"/>
  <c r="I26" i="3"/>
  <c r="I25" i="3"/>
  <c r="I24" i="3"/>
  <c r="I23" i="3"/>
  <c r="I22" i="3"/>
  <c r="I21" i="3"/>
  <c r="I20" i="3"/>
  <c r="K19" i="3"/>
  <c r="J19" i="3"/>
  <c r="I18" i="3"/>
  <c r="I17" i="3"/>
  <c r="I16" i="3"/>
  <c r="I15" i="3"/>
  <c r="I14" i="3"/>
  <c r="I13" i="3"/>
  <c r="I12" i="3"/>
  <c r="I11" i="3"/>
  <c r="N36" i="3"/>
  <c r="M36" i="3"/>
  <c r="L36" i="3"/>
  <c r="K36" i="3"/>
  <c r="J36" i="3"/>
  <c r="N35" i="3"/>
  <c r="M35" i="3"/>
  <c r="L35" i="3"/>
  <c r="K35" i="3"/>
  <c r="J35" i="3"/>
  <c r="N34" i="3"/>
  <c r="M34" i="3"/>
  <c r="L34" i="3"/>
  <c r="K34" i="3"/>
  <c r="J34" i="3"/>
  <c r="N33" i="3"/>
  <c r="M33" i="3"/>
  <c r="L33" i="3"/>
  <c r="K33" i="3"/>
  <c r="J33" i="3"/>
  <c r="N32" i="3"/>
  <c r="M32" i="3"/>
  <c r="L32" i="3"/>
  <c r="K32" i="3"/>
  <c r="J32" i="3"/>
  <c r="N31" i="3"/>
  <c r="M31" i="3"/>
  <c r="L31" i="3"/>
  <c r="K31" i="3"/>
  <c r="J31" i="3"/>
  <c r="N30" i="3"/>
  <c r="M30" i="3"/>
  <c r="L30" i="3"/>
  <c r="K30" i="3"/>
  <c r="J30" i="3"/>
  <c r="N29" i="3"/>
  <c r="M29" i="3"/>
  <c r="L29" i="3"/>
  <c r="K29" i="3"/>
  <c r="J29" i="3"/>
  <c r="N27" i="3"/>
  <c r="M27" i="3"/>
  <c r="L27" i="3"/>
  <c r="K27" i="3"/>
  <c r="J27" i="3"/>
  <c r="N26" i="3"/>
  <c r="M26" i="3"/>
  <c r="L26" i="3"/>
  <c r="K26" i="3"/>
  <c r="J26" i="3"/>
  <c r="N25" i="3"/>
  <c r="M25" i="3"/>
  <c r="L25" i="3"/>
  <c r="K25" i="3"/>
  <c r="J25" i="3"/>
  <c r="N24" i="3"/>
  <c r="M24" i="3"/>
  <c r="L24" i="3"/>
  <c r="K24" i="3"/>
  <c r="J24" i="3"/>
  <c r="N23" i="3"/>
  <c r="M23" i="3"/>
  <c r="L23" i="3"/>
  <c r="K23" i="3"/>
  <c r="J23" i="3"/>
  <c r="N22" i="3"/>
  <c r="M22" i="3"/>
  <c r="L22" i="3"/>
  <c r="K22" i="3"/>
  <c r="J22" i="3"/>
  <c r="N21" i="3"/>
  <c r="M21" i="3"/>
  <c r="L21" i="3"/>
  <c r="K21" i="3"/>
  <c r="J21" i="3"/>
  <c r="N20" i="3"/>
  <c r="M20" i="3"/>
  <c r="L20" i="3"/>
  <c r="K20" i="3"/>
  <c r="J20" i="3"/>
  <c r="N18" i="3"/>
  <c r="M18" i="3"/>
  <c r="L18" i="3"/>
  <c r="K18" i="3"/>
  <c r="J18" i="3"/>
  <c r="N17" i="3"/>
  <c r="M17" i="3"/>
  <c r="L17" i="3"/>
  <c r="K17" i="3"/>
  <c r="J17" i="3"/>
  <c r="N16" i="3"/>
  <c r="M16" i="3"/>
  <c r="L16" i="3"/>
  <c r="K16" i="3"/>
  <c r="J16" i="3"/>
  <c r="N15" i="3"/>
  <c r="M15" i="3"/>
  <c r="L15" i="3"/>
  <c r="K15" i="3"/>
  <c r="J15" i="3"/>
  <c r="N14" i="3"/>
  <c r="M14" i="3"/>
  <c r="L14" i="3"/>
  <c r="K14" i="3"/>
  <c r="J14" i="3"/>
  <c r="N13" i="3"/>
  <c r="M13" i="3"/>
  <c r="L13" i="3"/>
  <c r="K13" i="3"/>
  <c r="J13" i="3"/>
  <c r="N12" i="3"/>
  <c r="M12" i="3"/>
  <c r="L12" i="3"/>
  <c r="K12" i="3"/>
  <c r="J12" i="3"/>
  <c r="N11" i="3"/>
  <c r="M11" i="3"/>
  <c r="L11" i="3"/>
  <c r="K11" i="3"/>
  <c r="J11" i="3"/>
</calcChain>
</file>

<file path=xl/sharedStrings.xml><?xml version="1.0" encoding="utf-8"?>
<sst xmlns="http://schemas.openxmlformats.org/spreadsheetml/2006/main" count="192" uniqueCount="111">
  <si>
    <t>Options book risk report (USD)</t>
  </si>
  <si>
    <t>Built 2026-10-24 17:00 from C:\Users\vaibh\options-risk-engine\excel\..\out\</t>
  </si>
  <si>
    <t>1 day VaR 99% (hist)</t>
  </si>
  <si>
    <t>1 day ES 99% (hist)</t>
  </si>
  <si>
    <t>Worst grid point</t>
  </si>
  <si>
    <t>spot -15%, vol -10v</t>
  </si>
  <si>
    <t>Limits</t>
  </si>
  <si>
    <t>4 breach, 1 warn</t>
  </si>
  <si>
    <t>Limit usage</t>
  </si>
  <si>
    <t>scope</t>
  </si>
  <si>
    <t>metric</t>
  </si>
  <si>
    <t>value</t>
  </si>
  <si>
    <t>limit</t>
  </si>
  <si>
    <t>usage_pct</t>
  </si>
  <si>
    <t>status</t>
  </si>
  <si>
    <t>BOOK</t>
  </si>
  <si>
    <t>var_99</t>
  </si>
  <si>
    <t>BREACH</t>
  </si>
  <si>
    <t>es_99</t>
  </si>
  <si>
    <t>stress_worst</t>
  </si>
  <si>
    <t>HSI</t>
  </si>
  <si>
    <t>delta_1pct</t>
  </si>
  <si>
    <t>TWSE</t>
  </si>
  <si>
    <t>vega</t>
  </si>
  <si>
    <t>WARN</t>
  </si>
  <si>
    <t>ok</t>
  </si>
  <si>
    <t>NKY</t>
  </si>
  <si>
    <t>Greeks by underlying (delta in index units, rest USD)</t>
  </si>
  <si>
    <t>underlying</t>
  </si>
  <si>
    <t>delta</t>
  </si>
  <si>
    <t>gamma_1pct</t>
  </si>
  <si>
    <t>theta</t>
  </si>
  <si>
    <t>rho</t>
  </si>
  <si>
    <t>Spot x vol P&amp;L (USD 000s)</t>
  </si>
  <si>
    <t>vol</t>
  </si>
  <si>
    <t>-15%</t>
  </si>
  <si>
    <t>-10%</t>
  </si>
  <si>
    <t>-5%</t>
  </si>
  <si>
    <t>-2%</t>
  </si>
  <si>
    <t>+0%</t>
  </si>
  <si>
    <t>+2%</t>
  </si>
  <si>
    <t>+5%</t>
  </si>
  <si>
    <t>+10%</t>
  </si>
  <si>
    <t>+15%</t>
  </si>
  <si>
    <t>-10v</t>
  </si>
  <si>
    <t>-5v</t>
  </si>
  <si>
    <t>+0v</t>
  </si>
  <si>
    <t>+5v</t>
  </si>
  <si>
    <t>+10v</t>
  </si>
  <si>
    <t>+20v</t>
  </si>
  <si>
    <t>Named scenarios</t>
  </si>
  <si>
    <t>scenario</t>
  </si>
  <si>
    <t>pnl_usd</t>
  </si>
  <si>
    <t>covid_crash_mar20</t>
  </si>
  <si>
    <t>aug24_yen_unwind</t>
  </si>
  <si>
    <t>china_stimulus_sep24</t>
  </si>
  <si>
    <t>vol_crush</t>
  </si>
  <si>
    <t>What if: edit spot / vol / valuation date in yellow, greeks recalc live</t>
  </si>
  <si>
    <t>Valuation date</t>
  </si>
  <si>
    <t>Vol shift (abs)</t>
  </si>
  <si>
    <t>spot</t>
  </si>
  <si>
    <t>rate</t>
  </si>
  <si>
    <t>div_yield</t>
  </si>
  <si>
    <t>ccy</t>
  </si>
  <si>
    <t>usd_per_unit</t>
  </si>
  <si>
    <t>JPY</t>
  </si>
  <si>
    <t>HKD</t>
  </si>
  <si>
    <t>TWD</t>
  </si>
  <si>
    <t>id</t>
  </si>
  <si>
    <t>kind</t>
  </si>
  <si>
    <t>strike</t>
  </si>
  <si>
    <t>expiry</t>
  </si>
  <si>
    <t>qty</t>
  </si>
  <si>
    <t>multiplier</t>
  </si>
  <si>
    <t>T</t>
  </si>
  <si>
    <t>price</t>
  </si>
  <si>
    <t>delta_1pct_usd</t>
  </si>
  <si>
    <t>gamma_1pct_usd</t>
  </si>
  <si>
    <t>vega_usd</t>
  </si>
  <si>
    <t>theta_usd</t>
  </si>
  <si>
    <t>P001</t>
  </si>
  <si>
    <t>call</t>
  </si>
  <si>
    <t>P002</t>
  </si>
  <si>
    <t>P003</t>
  </si>
  <si>
    <t>P004</t>
  </si>
  <si>
    <t>put</t>
  </si>
  <si>
    <t>P005</t>
  </si>
  <si>
    <t>P006</t>
  </si>
  <si>
    <t>P007</t>
  </si>
  <si>
    <t>P008</t>
  </si>
  <si>
    <t>P009</t>
  </si>
  <si>
    <t>future</t>
  </si>
  <si>
    <t>P010</t>
  </si>
  <si>
    <t>P011</t>
  </si>
  <si>
    <t>P012</t>
  </si>
  <si>
    <t>P013</t>
  </si>
  <si>
    <t>P014</t>
  </si>
  <si>
    <t>P015</t>
  </si>
  <si>
    <t>P016</t>
  </si>
  <si>
    <t>P017</t>
  </si>
  <si>
    <t>P018</t>
  </si>
  <si>
    <t>P019</t>
  </si>
  <si>
    <t>P020</t>
  </si>
  <si>
    <t>P021</t>
  </si>
  <si>
    <t>P022</t>
  </si>
  <si>
    <t>P023</t>
  </si>
  <si>
    <t>P024</t>
  </si>
  <si>
    <t>P025</t>
  </si>
  <si>
    <t>P026</t>
  </si>
  <si>
    <t>P027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</si>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</sst>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yyyy\-mm\-dd"/>
    <numFmt numFmtId="166" formatCode="0.0000"/>
    <numFmt numFmtId="167" formatCode="0.00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rgb="FFC00000"/>
      <name val="Aptos Narrow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F8D7DA"/>
        <bgColor indexed="64"/>
      </patternFill>
    </fill>
    <fill>
      <patternFill patternType="solid">
        <fgColor rgb="FFFFF3CD"/>
        <bgColor indexed="64"/>
      </patternFill>
    </fill>
    <fill>
      <patternFill patternType="solid">
        <fgColor rgb="FFFFEAEA"/>
        <bgColor indexed="64"/>
      </patternFill>
    </fill>
    <fill>
      <patternFill patternType="solid">
        <fgColor rgb="FFFFEDED"/>
        <bgColor indexed="64"/>
      </patternFill>
    </fill>
    <fill>
      <patternFill patternType="solid">
        <fgColor rgb="FFFFEEEE"/>
        <bgColor indexed="64"/>
      </patternFill>
    </fill>
    <fill>
      <patternFill patternType="solid">
        <fgColor rgb="FFFFECEC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FEFFFE"/>
        <bgColor indexed="64"/>
      </patternFill>
    </fill>
    <fill>
      <patternFill patternType="solid">
        <fgColor rgb="FFD9FFD9"/>
        <bgColor indexed="64"/>
      </patternFill>
    </fill>
    <fill>
      <patternFill patternType="solid">
        <fgColor rgb="FFFFF0F0"/>
        <bgColor indexed="64"/>
      </patternFill>
    </fill>
    <fill>
      <patternFill patternType="solid">
        <fgColor rgb="FFFFF2F2"/>
        <bgColor indexed="64"/>
      </patternFill>
    </fill>
    <fill>
      <patternFill patternType="solid">
        <fgColor rgb="FFFFF3F3"/>
        <bgColor indexed="64"/>
      </patternFill>
    </fill>
    <fill>
      <patternFill patternType="solid">
        <fgColor rgb="FFFFF4F4"/>
        <bgColor indexed="64"/>
      </patternFill>
    </fill>
    <fill>
      <patternFill patternType="solid">
        <fgColor rgb="FFFFF6F6"/>
        <bgColor indexed="64"/>
      </patternFill>
    </fill>
    <fill>
      <patternFill patternType="solid">
        <fgColor rgb="FFFFFBFB"/>
        <bgColor indexed="64"/>
      </patternFill>
    </fill>
    <fill>
      <patternFill patternType="solid">
        <fgColor rgb="FFEFFFEF"/>
        <bgColor indexed="64"/>
      </patternFill>
    </fill>
    <fill>
      <patternFill patternType="solid">
        <fgColor rgb="FFCDFFCD"/>
        <bgColor indexed="64"/>
      </patternFill>
    </fill>
    <fill>
      <patternFill patternType="solid">
        <fgColor rgb="FFFFF1F1"/>
        <bgColor indexed="64"/>
      </patternFill>
    </fill>
    <fill>
      <patternFill patternType="solid">
        <fgColor rgb="FFFFF5F5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FFFDF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FFFC"/>
        <bgColor indexed="64"/>
      </patternFill>
    </fill>
    <fill>
      <patternFill patternType="solid">
        <fgColor rgb="FFF5FFF5"/>
        <bgColor indexed="64"/>
      </patternFill>
    </fill>
    <fill>
      <patternFill patternType="solid">
        <fgColor rgb="FFE0FFE0"/>
        <bgColor indexed="64"/>
      </patternFill>
    </fill>
    <fill>
      <patternFill patternType="solid">
        <fgColor rgb="FFC0FFC0"/>
        <bgColor indexed="64"/>
      </patternFill>
    </fill>
    <fill>
      <patternFill patternType="solid">
        <fgColor rgb="FFFBFFFB"/>
        <bgColor indexed="64"/>
      </patternFill>
    </fill>
    <fill>
      <patternFill patternType="solid">
        <fgColor rgb="FFF7FFF7"/>
        <bgColor indexed="64"/>
      </patternFill>
    </fill>
    <fill>
      <patternFill patternType="solid">
        <fgColor rgb="FFF3FFF3"/>
        <bgColor indexed="64"/>
      </patternFill>
    </fill>
    <fill>
      <patternFill patternType="solid">
        <fgColor rgb="FFE7FFE7"/>
        <bgColor indexed="64"/>
      </patternFill>
    </fill>
    <fill>
      <patternFill patternType="solid">
        <fgColor rgb="FFD2FFD2"/>
        <bgColor indexed="64"/>
      </patternFill>
    </fill>
    <fill>
      <patternFill patternType="solid">
        <fgColor rgb="FFB2FFB2"/>
        <bgColor indexed="64"/>
      </patternFill>
    </fill>
    <fill>
      <patternFill patternType="solid">
        <fgColor rgb="FFFFFEFE"/>
        <bgColor indexed="64"/>
      </patternFill>
    </fill>
    <fill>
      <patternFill patternType="solid">
        <fgColor rgb="FFF9FFF9"/>
        <bgColor indexed="64"/>
      </patternFill>
    </fill>
    <fill>
      <patternFill patternType="solid">
        <fgColor rgb="FFF1FFF1"/>
        <bgColor indexed="64"/>
      </patternFill>
    </fill>
    <fill>
      <patternFill patternType="solid">
        <fgColor rgb="FFECFFEC"/>
        <bgColor indexed="64"/>
      </patternFill>
    </fill>
    <fill>
      <patternFill patternType="solid">
        <fgColor rgb="FFE3FFE3"/>
        <bgColor indexed="64"/>
      </patternFill>
    </fill>
    <fill>
      <patternFill patternType="solid">
        <fgColor rgb="FFC3FFC3"/>
        <bgColor indexed="64"/>
      </patternFill>
    </fill>
    <fill>
      <patternFill patternType="solid">
        <fgColor rgb="FFA4FFA4"/>
        <bgColor indexed="64"/>
      </patternFill>
    </fill>
    <fill>
      <patternFill patternType="solid">
        <fgColor rgb="FFE5FFE5"/>
        <bgColor indexed="64"/>
      </patternFill>
    </fill>
    <fill>
      <patternFill patternType="solid">
        <fgColor rgb="FFDBFFDB"/>
        <bgColor indexed="64"/>
      </patternFill>
    </fill>
    <fill>
      <patternFill patternType="solid">
        <fgColor rgb="FFD4FFD4"/>
        <bgColor indexed="64"/>
      </patternFill>
    </fill>
    <fill>
      <patternFill patternType="solid">
        <fgColor rgb="FFCFFFCF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BDFFBD"/>
        <bgColor indexed="64"/>
      </patternFill>
    </fill>
    <fill>
      <patternFill patternType="solid">
        <fgColor rgb="FFA5FFA5"/>
        <bgColor indexed="64"/>
      </patternFill>
    </fill>
    <fill>
      <patternFill patternType="solid">
        <fgColor rgb="FF87FF87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/>
    <xf numFmtId="0" fontId="2" fillId="0" borderId="0" xfId="0" applyFont="1"/>
    <xf numFmtId="3" fontId="0" fillId="0" borderId="0" xfId="0" applyNumberFormat="1"/>
    <xf numFmtId="0" fontId="3" fillId="0" borderId="0" xfId="0" applyFont="1"/>
    <xf numFmtId="49" fontId="0" fillId="0" borderId="0" xfId="0" applyNumberFormat="1"/>
    <xf numFmtId="49" fontId="1" fillId="2" borderId="0" xfId="0" applyNumberFormat="1" applyFont="1" applyFill="1"/>
    <xf numFmtId="49" fontId="0" fillId="3" borderId="0" xfId="0" applyNumberFormat="1" applyFill="1"/>
    <xf numFmtId="3" fontId="0" fillId="3" borderId="0" xfId="0" applyNumberFormat="1" applyFill="1"/>
    <xf numFmtId="49" fontId="0" fillId="4" borderId="0" xfId="0" applyNumberFormat="1" applyFill="1"/>
    <xf numFmtId="3" fontId="0" fillId="4" borderId="0" xfId="0" applyNumberFormat="1" applyFill="1"/>
    <xf numFmtId="164" fontId="0" fillId="3" borderId="0" xfId="0" applyNumberFormat="1" applyFill="1"/>
    <xf numFmtId="164" fontId="0" fillId="4" borderId="0" xfId="0" applyNumberFormat="1" applyFill="1"/>
    <xf numFmtId="164" fontId="0" fillId="0" borderId="0" xfId="0" applyNumberFormat="1"/>
    <xf numFmtId="3" fontId="0" fillId="5" borderId="0" xfId="0" applyNumberFormat="1" applyFill="1"/>
    <xf numFmtId="3" fontId="0" fillId="6" borderId="0" xfId="0" applyNumberFormat="1" applyFill="1"/>
    <xf numFmtId="3" fontId="0" fillId="7" borderId="0" xfId="0" applyNumberFormat="1" applyFill="1"/>
    <xf numFmtId="3" fontId="0" fillId="8" borderId="0" xfId="0" applyNumberFormat="1" applyFill="1"/>
    <xf numFmtId="3" fontId="0" fillId="9" borderId="0" xfId="0" applyNumberFormat="1" applyFill="1"/>
    <xf numFmtId="3" fontId="0" fillId="10" borderId="0" xfId="0" applyNumberFormat="1" applyFill="1"/>
    <xf numFmtId="3" fontId="0" fillId="11" borderId="0" xfId="0" applyNumberFormat="1" applyFill="1"/>
    <xf numFmtId="3" fontId="0" fillId="12" borderId="0" xfId="0" applyNumberFormat="1" applyFill="1"/>
    <xf numFmtId="3" fontId="0" fillId="13" borderId="0" xfId="0" applyNumberFormat="1" applyFill="1"/>
    <xf numFmtId="3" fontId="0" fillId="14" borderId="0" xfId="0" applyNumberFormat="1" applyFill="1"/>
    <xf numFmtId="3" fontId="0" fillId="15" borderId="0" xfId="0" applyNumberFormat="1" applyFill="1"/>
    <xf numFmtId="3" fontId="0" fillId="16" borderId="0" xfId="0" applyNumberFormat="1" applyFill="1"/>
    <xf numFmtId="3" fontId="0" fillId="17" borderId="0" xfId="0" applyNumberFormat="1" applyFill="1"/>
    <xf numFmtId="3" fontId="0" fillId="18" borderId="0" xfId="0" applyNumberFormat="1" applyFill="1"/>
    <xf numFmtId="3" fontId="0" fillId="19" borderId="0" xfId="0" applyNumberFormat="1" applyFill="1"/>
    <xf numFmtId="3" fontId="0" fillId="20" borderId="0" xfId="0" applyNumberFormat="1" applyFill="1"/>
    <xf numFmtId="3" fontId="0" fillId="21" borderId="0" xfId="0" applyNumberFormat="1" applyFill="1"/>
    <xf numFmtId="3" fontId="0" fillId="22" borderId="0" xfId="0" applyNumberFormat="1" applyFill="1"/>
    <xf numFmtId="3" fontId="0" fillId="23" borderId="0" xfId="0" applyNumberFormat="1" applyFill="1"/>
    <xf numFmtId="3" fontId="0" fillId="24" borderId="0" xfId="0" applyNumberFormat="1" applyFill="1"/>
    <xf numFmtId="3" fontId="0" fillId="25" borderId="0" xfId="0" applyNumberFormat="1" applyFill="1"/>
    <xf numFmtId="3" fontId="0" fillId="26" borderId="0" xfId="0" applyNumberFormat="1" applyFill="1"/>
    <xf numFmtId="3" fontId="0" fillId="27" borderId="0" xfId="0" applyNumberFormat="1" applyFill="1"/>
    <xf numFmtId="3" fontId="0" fillId="28" borderId="0" xfId="0" applyNumberFormat="1" applyFill="1"/>
    <xf numFmtId="3" fontId="0" fillId="29" borderId="0" xfId="0" applyNumberFormat="1" applyFill="1"/>
    <xf numFmtId="3" fontId="0" fillId="30" borderId="0" xfId="0" applyNumberFormat="1" applyFill="1"/>
    <xf numFmtId="3" fontId="0" fillId="31" borderId="0" xfId="0" applyNumberFormat="1" applyFill="1"/>
    <xf numFmtId="3" fontId="0" fillId="32" borderId="0" xfId="0" applyNumberFormat="1" applyFill="1"/>
    <xf numFmtId="3" fontId="0" fillId="33" borderId="0" xfId="0" applyNumberFormat="1" applyFill="1"/>
    <xf numFmtId="3" fontId="0" fillId="34" borderId="0" xfId="0" applyNumberFormat="1" applyFill="1"/>
    <xf numFmtId="3" fontId="0" fillId="35" borderId="0" xfId="0" applyNumberFormat="1" applyFill="1"/>
    <xf numFmtId="3" fontId="0" fillId="36" borderId="0" xfId="0" applyNumberFormat="1" applyFill="1"/>
    <xf numFmtId="3" fontId="0" fillId="37" borderId="0" xfId="0" applyNumberFormat="1" applyFill="1"/>
    <xf numFmtId="3" fontId="0" fillId="38" borderId="0" xfId="0" applyNumberFormat="1" applyFill="1"/>
    <xf numFmtId="3" fontId="0" fillId="39" borderId="0" xfId="0" applyNumberFormat="1" applyFill="1"/>
    <xf numFmtId="3" fontId="0" fillId="40" borderId="0" xfId="0" applyNumberFormat="1" applyFill="1"/>
    <xf numFmtId="3" fontId="0" fillId="41" borderId="0" xfId="0" applyNumberFormat="1" applyFill="1"/>
    <xf numFmtId="3" fontId="0" fillId="42" borderId="0" xfId="0" applyNumberFormat="1" applyFill="1"/>
    <xf numFmtId="3" fontId="0" fillId="43" borderId="0" xfId="0" applyNumberFormat="1" applyFill="1"/>
    <xf numFmtId="3" fontId="0" fillId="44" borderId="0" xfId="0" applyNumberFormat="1" applyFill="1"/>
    <xf numFmtId="3" fontId="0" fillId="45" borderId="0" xfId="0" applyNumberFormat="1" applyFill="1"/>
    <xf numFmtId="3" fontId="0" fillId="46" borderId="0" xfId="0" applyNumberFormat="1" applyFill="1"/>
    <xf numFmtId="3" fontId="0" fillId="47" borderId="0" xfId="0" applyNumberFormat="1" applyFill="1"/>
    <xf numFmtId="3" fontId="0" fillId="48" borderId="0" xfId="0" applyNumberFormat="1" applyFill="1"/>
    <xf numFmtId="3" fontId="0" fillId="49" borderId="0" xfId="0" applyNumberFormat="1" applyFill="1"/>
    <xf numFmtId="165" fontId="0" fillId="0" borderId="0" xfId="0" applyNumberFormat="1"/>
    <xf numFmtId="165" fontId="0" fillId="50" borderId="0" xfId="0" applyNumberFormat="1" applyFill="1"/>
    <xf numFmtId="0" fontId="0" fillId="50" borderId="0" xfId="0" applyFill="1"/>
    <xf numFmtId="166" fontId="0" fillId="0" borderId="0" xfId="0" applyNumberFormat="1"/>
    <xf numFmtId="4" fontId="0" fillId="50" borderId="0" xfId="0" applyNumberFormat="1" applyFill="1"/>
    <xf numFmtId="0" fontId="1" fillId="2" borderId="0" xfId="0" applyFont="1" applyFill="1"/>
    <xf numFmtId="3" fontId="1" fillId="0" borderId="0" xfId="0" applyNumberFormat="1" applyFont="1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78E9D-1017-40E5-BE88-62A2B3879E30}">
  <sheetPr codeName="Sheet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26EBB-8222-4ED4-BCFA-31D9BA4BE93A}">
  <sheetPr codeName="Sheet2"/>
  <dimension ref="A1:J42"/>
  <sheetViews>
    <sheetView workbookViewId="0"/>
  </sheetViews>
  <sheetFormatPr defaultRowHeight="14.4" x14ac:dyDescent="0.3"/>
  <cols>
    <col min="1" max="1" width="22.77734375" customWidth="1"/>
    <col min="2" max="10" width="12.77734375" customWidth="1"/>
  </cols>
  <sheetData>
    <row r="1" spans="1:6" ht="18" x14ac:dyDescent="0.35">
      <c r="A1" s="2" t="s">
        <v>0</v>
      </c>
    </row>
    <row r="2" spans="1:6" x14ac:dyDescent="0.3">
      <c r="A2" t="s">
        <v>1</v>
      </c>
    </row>
    <row r="4" spans="1:6" x14ac:dyDescent="0.3">
      <c r="A4" s="1" t="s">
        <v>2</v>
      </c>
      <c r="B4" s="3">
        <v>183363</v>
      </c>
    </row>
    <row r="5" spans="1:6" x14ac:dyDescent="0.3">
      <c r="A5" s="1" t="s">
        <v>3</v>
      </c>
      <c r="B5" s="3">
        <v>227136</v>
      </c>
    </row>
    <row r="6" spans="1:6" x14ac:dyDescent="0.3">
      <c r="A6" s="1" t="s">
        <v>4</v>
      </c>
      <c r="B6" s="3">
        <v>-514377.94081367517</v>
      </c>
      <c r="C6" t="s">
        <v>5</v>
      </c>
    </row>
    <row r="7" spans="1:6" x14ac:dyDescent="0.3">
      <c r="A7" s="1" t="s">
        <v>6</v>
      </c>
      <c r="B7" s="4" t="s">
        <v>7</v>
      </c>
    </row>
    <row r="9" spans="1:6" x14ac:dyDescent="0.3">
      <c r="A9" s="1" t="s">
        <v>8</v>
      </c>
    </row>
    <row r="10" spans="1:6" x14ac:dyDescent="0.3">
      <c r="A10" s="6" t="s">
        <v>9</v>
      </c>
      <c r="B10" s="6" t="s">
        <v>10</v>
      </c>
      <c r="C10" s="6" t="s">
        <v>11</v>
      </c>
      <c r="D10" s="6" t="s">
        <v>12</v>
      </c>
      <c r="E10" s="6" t="s">
        <v>13</v>
      </c>
      <c r="F10" s="6" t="s">
        <v>14</v>
      </c>
    </row>
    <row r="11" spans="1:6" x14ac:dyDescent="0.3">
      <c r="A11" s="7" t="s">
        <v>15</v>
      </c>
      <c r="B11" s="7" t="s">
        <v>16</v>
      </c>
      <c r="C11" s="8">
        <v>183363</v>
      </c>
      <c r="D11" s="8">
        <v>120000</v>
      </c>
      <c r="E11" s="11">
        <v>152.80000000000001</v>
      </c>
      <c r="F11" s="7" t="s">
        <v>17</v>
      </c>
    </row>
    <row r="12" spans="1:6" x14ac:dyDescent="0.3">
      <c r="A12" s="7" t="s">
        <v>15</v>
      </c>
      <c r="B12" s="7" t="s">
        <v>18</v>
      </c>
      <c r="C12" s="8">
        <v>227136</v>
      </c>
      <c r="D12" s="8">
        <v>160000</v>
      </c>
      <c r="E12" s="11">
        <v>142</v>
      </c>
      <c r="F12" s="7" t="s">
        <v>17</v>
      </c>
    </row>
    <row r="13" spans="1:6" x14ac:dyDescent="0.3">
      <c r="A13" s="7" t="s">
        <v>15</v>
      </c>
      <c r="B13" s="7" t="s">
        <v>19</v>
      </c>
      <c r="C13" s="8">
        <v>514378</v>
      </c>
      <c r="D13" s="8">
        <v>500000</v>
      </c>
      <c r="E13" s="11">
        <v>102.9</v>
      </c>
      <c r="F13" s="7" t="s">
        <v>17</v>
      </c>
    </row>
    <row r="14" spans="1:6" x14ac:dyDescent="0.3">
      <c r="A14" s="7" t="s">
        <v>20</v>
      </c>
      <c r="B14" s="7" t="s">
        <v>21</v>
      </c>
      <c r="C14" s="8">
        <v>-40680</v>
      </c>
      <c r="D14" s="8">
        <v>40000</v>
      </c>
      <c r="E14" s="11">
        <v>101.7</v>
      </c>
      <c r="F14" s="7" t="s">
        <v>17</v>
      </c>
    </row>
    <row r="15" spans="1:6" x14ac:dyDescent="0.3">
      <c r="A15" s="9" t="s">
        <v>22</v>
      </c>
      <c r="B15" s="9" t="s">
        <v>23</v>
      </c>
      <c r="C15" s="10">
        <v>36042</v>
      </c>
      <c r="D15" s="10">
        <v>40000</v>
      </c>
      <c r="E15" s="12">
        <v>90.1</v>
      </c>
      <c r="F15" s="9" t="s">
        <v>24</v>
      </c>
    </row>
    <row r="16" spans="1:6" x14ac:dyDescent="0.3">
      <c r="A16" s="5" t="s">
        <v>15</v>
      </c>
      <c r="B16" s="5" t="s">
        <v>23</v>
      </c>
      <c r="C16" s="3">
        <v>54339</v>
      </c>
      <c r="D16" s="3">
        <v>80000</v>
      </c>
      <c r="E16" s="13">
        <v>67.900000000000006</v>
      </c>
      <c r="F16" s="5" t="s">
        <v>25</v>
      </c>
    </row>
    <row r="17" spans="1:10" x14ac:dyDescent="0.3">
      <c r="A17" s="5" t="s">
        <v>26</v>
      </c>
      <c r="B17" s="5" t="s">
        <v>21</v>
      </c>
      <c r="C17" s="3">
        <v>33634</v>
      </c>
      <c r="D17" s="3">
        <v>50000</v>
      </c>
      <c r="E17" s="13">
        <v>67.3</v>
      </c>
      <c r="F17" s="5" t="s">
        <v>25</v>
      </c>
    </row>
    <row r="18" spans="1:10" x14ac:dyDescent="0.3">
      <c r="A18" s="5" t="s">
        <v>26</v>
      </c>
      <c r="B18" s="5" t="s">
        <v>23</v>
      </c>
      <c r="C18" s="3">
        <v>10740</v>
      </c>
      <c r="D18" s="3">
        <v>30000</v>
      </c>
      <c r="E18" s="13">
        <v>35.799999999999997</v>
      </c>
      <c r="F18" s="5" t="s">
        <v>25</v>
      </c>
    </row>
    <row r="19" spans="1:10" x14ac:dyDescent="0.3">
      <c r="A19" s="5" t="s">
        <v>20</v>
      </c>
      <c r="B19" s="5" t="s">
        <v>23</v>
      </c>
      <c r="C19" s="3">
        <v>7557</v>
      </c>
      <c r="D19" s="3">
        <v>20000</v>
      </c>
      <c r="E19" s="13">
        <v>37.799999999999997</v>
      </c>
      <c r="F19" s="5" t="s">
        <v>25</v>
      </c>
    </row>
    <row r="20" spans="1:10" x14ac:dyDescent="0.3">
      <c r="A20" s="5" t="s">
        <v>22</v>
      </c>
      <c r="B20" s="5" t="s">
        <v>21</v>
      </c>
      <c r="C20" s="3">
        <v>38688</v>
      </c>
      <c r="D20" s="3">
        <v>60000</v>
      </c>
      <c r="E20" s="13">
        <v>64.5</v>
      </c>
      <c r="F20" s="5" t="s">
        <v>25</v>
      </c>
    </row>
    <row r="22" spans="1:10" x14ac:dyDescent="0.3">
      <c r="A22" s="1" t="s">
        <v>27</v>
      </c>
    </row>
    <row r="23" spans="1:10" x14ac:dyDescent="0.3">
      <c r="A23" s="6" t="s">
        <v>28</v>
      </c>
      <c r="B23" s="6" t="s">
        <v>11</v>
      </c>
      <c r="C23" s="6" t="s">
        <v>29</v>
      </c>
      <c r="D23" s="6" t="s">
        <v>21</v>
      </c>
      <c r="E23" s="6" t="s">
        <v>30</v>
      </c>
      <c r="F23" s="6" t="s">
        <v>23</v>
      </c>
      <c r="G23" s="6" t="s">
        <v>31</v>
      </c>
      <c r="H23" s="6" t="s">
        <v>32</v>
      </c>
    </row>
    <row r="24" spans="1:10" x14ac:dyDescent="0.3">
      <c r="A24" s="5" t="s">
        <v>20</v>
      </c>
      <c r="B24" s="3">
        <v>336662.46</v>
      </c>
      <c r="C24" s="3">
        <v>-1777.12</v>
      </c>
      <c r="D24" s="3">
        <v>-40679.730000000003</v>
      </c>
      <c r="E24" s="3">
        <v>736.9</v>
      </c>
      <c r="F24" s="3">
        <v>7557.36</v>
      </c>
      <c r="G24" s="3">
        <v>-1119.55</v>
      </c>
      <c r="H24" s="3">
        <v>-9206.18</v>
      </c>
    </row>
    <row r="25" spans="1:10" x14ac:dyDescent="0.3">
      <c r="A25" s="5" t="s">
        <v>26</v>
      </c>
      <c r="B25" s="3">
        <v>95663.83</v>
      </c>
      <c r="C25" s="3">
        <v>13236.54</v>
      </c>
      <c r="D25" s="3">
        <v>33634.050000000003</v>
      </c>
      <c r="E25" s="3">
        <v>1430.41</v>
      </c>
      <c r="F25" s="3">
        <v>10739.52</v>
      </c>
      <c r="G25" s="3">
        <v>-1192.77</v>
      </c>
      <c r="H25" s="3">
        <v>7047.36</v>
      </c>
    </row>
    <row r="26" spans="1:10" x14ac:dyDescent="0.3">
      <c r="A26" s="5" t="s">
        <v>22</v>
      </c>
      <c r="B26" s="3">
        <v>357826.36</v>
      </c>
      <c r="C26" s="3">
        <v>5535.77</v>
      </c>
      <c r="D26" s="3">
        <v>38688.370000000003</v>
      </c>
      <c r="E26" s="3">
        <v>-23.42</v>
      </c>
      <c r="F26" s="3">
        <v>36041.839999999997</v>
      </c>
      <c r="G26" s="3">
        <v>250.82</v>
      </c>
      <c r="H26" s="3">
        <v>23059.21</v>
      </c>
    </row>
    <row r="28" spans="1:10" x14ac:dyDescent="0.3">
      <c r="A28" s="1" t="s">
        <v>33</v>
      </c>
    </row>
    <row r="29" spans="1:10" x14ac:dyDescent="0.3">
      <c r="A29" s="6" t="s">
        <v>34</v>
      </c>
      <c r="B29" s="6" t="s">
        <v>35</v>
      </c>
      <c r="C29" s="6" t="s">
        <v>36</v>
      </c>
      <c r="D29" s="6" t="s">
        <v>37</v>
      </c>
      <c r="E29" s="6" t="s">
        <v>38</v>
      </c>
      <c r="F29" s="6" t="s">
        <v>39</v>
      </c>
      <c r="G29" s="6" t="s">
        <v>40</v>
      </c>
      <c r="H29" s="6" t="s">
        <v>41</v>
      </c>
      <c r="I29" s="6" t="s">
        <v>42</v>
      </c>
      <c r="J29" s="6" t="s">
        <v>43</v>
      </c>
    </row>
    <row r="30" spans="1:10" x14ac:dyDescent="0.3">
      <c r="A30" s="5" t="s">
        <v>44</v>
      </c>
      <c r="B30" s="14">
        <v>-514.3779408136752</v>
      </c>
      <c r="C30" s="15">
        <v>-435.69822179310347</v>
      </c>
      <c r="D30" s="16">
        <v>-404.94104792735646</v>
      </c>
      <c r="E30" s="15">
        <v>-442.34676078213812</v>
      </c>
      <c r="F30" s="17">
        <v>-469.71988777542794</v>
      </c>
      <c r="G30" s="18">
        <v>-478.2037711003897</v>
      </c>
      <c r="H30" s="16">
        <v>-414.0050764376947</v>
      </c>
      <c r="I30" s="19">
        <v>28.357080310358199</v>
      </c>
      <c r="J30" s="20">
        <v>919.24764197761306</v>
      </c>
    </row>
    <row r="31" spans="1:10" x14ac:dyDescent="0.3">
      <c r="A31" s="5" t="s">
        <v>45</v>
      </c>
      <c r="B31" s="15">
        <v>-442.08311206631441</v>
      </c>
      <c r="C31" s="21">
        <v>-360.97112995319856</v>
      </c>
      <c r="D31" s="22">
        <v>-305.48327355098854</v>
      </c>
      <c r="E31" s="23">
        <v>-283.20869038451383</v>
      </c>
      <c r="F31" s="24">
        <v>-259.93915953620012</v>
      </c>
      <c r="G31" s="25">
        <v>-217.87194010770961</v>
      </c>
      <c r="H31" s="26">
        <v>-92.955214409003261</v>
      </c>
      <c r="I31" s="27">
        <v>379.28828235727337</v>
      </c>
      <c r="J31" s="28">
        <v>1197.167863377703</v>
      </c>
    </row>
    <row r="32" spans="1:10" x14ac:dyDescent="0.3">
      <c r="A32" s="5" t="s">
        <v>46</v>
      </c>
      <c r="B32" s="29">
        <v>-347.12178009052889</v>
      </c>
      <c r="C32" s="30">
        <v>-236.15714656790533</v>
      </c>
      <c r="D32" s="31">
        <v>-125.66873077655444</v>
      </c>
      <c r="E32" s="32">
        <v>-56.221772196547128</v>
      </c>
      <c r="F32" s="33">
        <v>0</v>
      </c>
      <c r="G32" s="34">
        <v>73.553281353763893</v>
      </c>
      <c r="H32" s="35">
        <v>239.30102897329397</v>
      </c>
      <c r="I32" s="36">
        <v>738.13705068610909</v>
      </c>
      <c r="J32" s="37">
        <v>1518.1131746843282</v>
      </c>
    </row>
    <row r="33" spans="1:10" x14ac:dyDescent="0.3">
      <c r="A33" s="5" t="s">
        <v>47</v>
      </c>
      <c r="B33" s="25">
        <v>-209.90091994487216</v>
      </c>
      <c r="C33" s="32">
        <v>-58.841174719603032</v>
      </c>
      <c r="D33" s="38">
        <v>97.685384856093435</v>
      </c>
      <c r="E33" s="39">
        <v>199.24604881211545</v>
      </c>
      <c r="F33" s="40">
        <v>278.88167252579098</v>
      </c>
      <c r="G33" s="27">
        <v>376.61082821789802</v>
      </c>
      <c r="H33" s="41">
        <v>575.51353752167199</v>
      </c>
      <c r="I33" s="42">
        <v>1097.2963324727734</v>
      </c>
      <c r="J33" s="43">
        <v>1854.8351356054909</v>
      </c>
    </row>
    <row r="34" spans="1:10" x14ac:dyDescent="0.3">
      <c r="A34" s="5" t="s">
        <v>48</v>
      </c>
      <c r="B34" s="44">
        <v>-34.112225798341449</v>
      </c>
      <c r="C34" s="45">
        <v>150.94066927616879</v>
      </c>
      <c r="D34" s="46">
        <v>341.89420283275962</v>
      </c>
      <c r="E34" s="47">
        <v>469.1435975587296</v>
      </c>
      <c r="F34" s="41">
        <v>568.46668710762935</v>
      </c>
      <c r="G34" s="48">
        <v>686.67784923317652</v>
      </c>
      <c r="H34" s="20">
        <v>913.10681144551813</v>
      </c>
      <c r="I34" s="49">
        <v>1455.0283825900381</v>
      </c>
      <c r="J34" s="50">
        <v>2198.7317714894452</v>
      </c>
    </row>
    <row r="35" spans="1:10" x14ac:dyDescent="0.3">
      <c r="A35" s="5" t="s">
        <v>49</v>
      </c>
      <c r="B35" s="27">
        <v>384.31732477642294</v>
      </c>
      <c r="C35" s="51">
        <v>615.93535372396491</v>
      </c>
      <c r="D35" s="52">
        <v>863.18649611220599</v>
      </c>
      <c r="E35" s="53">
        <v>1035.2938495739752</v>
      </c>
      <c r="F35" s="54">
        <v>1167.7414429221533</v>
      </c>
      <c r="G35" s="55">
        <v>1318.9353054924861</v>
      </c>
      <c r="H35" s="56">
        <v>1588.0487233044844</v>
      </c>
      <c r="I35" s="57">
        <v>2164.3024605312644</v>
      </c>
      <c r="J35" s="58">
        <v>2895.3801717847336</v>
      </c>
    </row>
    <row r="37" spans="1:10" x14ac:dyDescent="0.3">
      <c r="A37" s="1" t="s">
        <v>50</v>
      </c>
    </row>
    <row r="38" spans="1:10" x14ac:dyDescent="0.3">
      <c r="A38" s="6" t="s">
        <v>51</v>
      </c>
      <c r="B38" s="6" t="s">
        <v>52</v>
      </c>
    </row>
    <row r="39" spans="1:10" x14ac:dyDescent="0.3">
      <c r="A39" s="5" t="s">
        <v>53</v>
      </c>
      <c r="B39" s="3">
        <v>124971</v>
      </c>
    </row>
    <row r="40" spans="1:10" x14ac:dyDescent="0.3">
      <c r="A40" s="5" t="s">
        <v>54</v>
      </c>
      <c r="B40" s="3">
        <v>118936</v>
      </c>
    </row>
    <row r="41" spans="1:10" x14ac:dyDescent="0.3">
      <c r="A41" s="5" t="s">
        <v>55</v>
      </c>
      <c r="B41" s="3">
        <v>256294</v>
      </c>
    </row>
    <row r="42" spans="1:10" x14ac:dyDescent="0.3">
      <c r="A42" s="5" t="s">
        <v>56</v>
      </c>
      <c r="B42" s="3">
        <v>-307692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3CA13-49C6-4D78-B82E-5F6C94D5672A}">
  <sheetPr codeName="Sheet3"/>
  <dimension ref="A1:N38"/>
  <sheetViews>
    <sheetView tabSelected="1" workbookViewId="0"/>
  </sheetViews>
  <sheetFormatPr defaultRowHeight="14.4" x14ac:dyDescent="0.3"/>
  <cols>
    <col min="1" max="1" width="14.77734375" customWidth="1"/>
    <col min="2" max="14" width="12.77734375" customWidth="1"/>
  </cols>
  <sheetData>
    <row r="1" spans="1:14" x14ac:dyDescent="0.3">
      <c r="A1" s="1" t="s">
        <v>57</v>
      </c>
    </row>
    <row r="2" spans="1:14" x14ac:dyDescent="0.3">
      <c r="A2" t="s">
        <v>58</v>
      </c>
      <c r="B2" s="60">
        <v>46318</v>
      </c>
      <c r="D2" t="s">
        <v>59</v>
      </c>
      <c r="E2" s="61">
        <v>0</v>
      </c>
    </row>
    <row r="4" spans="1:14" x14ac:dyDescent="0.3">
      <c r="A4" s="6" t="s">
        <v>28</v>
      </c>
      <c r="B4" s="6" t="s">
        <v>60</v>
      </c>
      <c r="C4" s="6" t="s">
        <v>61</v>
      </c>
      <c r="D4" s="6" t="s">
        <v>62</v>
      </c>
      <c r="E4" s="6" t="s">
        <v>63</v>
      </c>
      <c r="F4" s="6" t="s">
        <v>64</v>
      </c>
    </row>
    <row r="5" spans="1:14" x14ac:dyDescent="0.3">
      <c r="A5" s="5" t="s">
        <v>26</v>
      </c>
      <c r="B5" s="63">
        <v>38500</v>
      </c>
      <c r="C5" s="62">
        <v>2E-3</v>
      </c>
      <c r="D5" s="62">
        <v>1.7999999999999999E-2</v>
      </c>
      <c r="E5" s="5" t="s">
        <v>65</v>
      </c>
      <c r="F5" s="62">
        <v>6.6E-3</v>
      </c>
    </row>
    <row r="6" spans="1:14" x14ac:dyDescent="0.3">
      <c r="A6" s="5" t="s">
        <v>20</v>
      </c>
      <c r="B6" s="63">
        <v>17800</v>
      </c>
      <c r="C6" s="62">
        <v>0.04</v>
      </c>
      <c r="D6" s="62">
        <v>3.5000000000000003E-2</v>
      </c>
      <c r="E6" s="5" t="s">
        <v>66</v>
      </c>
      <c r="F6" s="62">
        <v>0.12859999999999999</v>
      </c>
    </row>
    <row r="7" spans="1:14" x14ac:dyDescent="0.3">
      <c r="A7" s="5" t="s">
        <v>22</v>
      </c>
      <c r="B7" s="63">
        <v>22400</v>
      </c>
      <c r="C7" s="62">
        <v>1.4999999999999999E-2</v>
      </c>
      <c r="D7" s="62">
        <v>2.8000000000000001E-2</v>
      </c>
      <c r="E7" s="5" t="s">
        <v>67</v>
      </c>
      <c r="F7" s="62">
        <v>3.1199999999999999E-2</v>
      </c>
    </row>
    <row r="10" spans="1:14" x14ac:dyDescent="0.3">
      <c r="A10" s="64" t="s">
        <v>68</v>
      </c>
      <c r="B10" s="64" t="s">
        <v>28</v>
      </c>
      <c r="C10" s="64" t="s">
        <v>69</v>
      </c>
      <c r="D10" s="64" t="s">
        <v>70</v>
      </c>
      <c r="E10" s="64" t="s">
        <v>71</v>
      </c>
      <c r="F10" s="64" t="s">
        <v>72</v>
      </c>
      <c r="G10" s="64" t="s">
        <v>73</v>
      </c>
      <c r="H10" s="64" t="s">
        <v>34</v>
      </c>
      <c r="I10" s="64" t="s">
        <v>74</v>
      </c>
      <c r="J10" s="64" t="s">
        <v>75</v>
      </c>
      <c r="K10" s="64" t="s">
        <v>76</v>
      </c>
      <c r="L10" s="64" t="s">
        <v>77</v>
      </c>
      <c r="M10" s="64" t="s">
        <v>78</v>
      </c>
      <c r="N10" s="64" t="s">
        <v>79</v>
      </c>
    </row>
    <row r="11" spans="1:14" x14ac:dyDescent="0.3">
      <c r="A11" t="s">
        <v>80</v>
      </c>
      <c r="B11" t="s">
        <v>26</v>
      </c>
      <c r="C11" t="s">
        <v>81</v>
      </c>
      <c r="D11">
        <v>40500</v>
      </c>
      <c r="E11" s="59">
        <v>46339</v>
      </c>
      <c r="F11">
        <v>36</v>
      </c>
      <c r="G11">
        <v>1000</v>
      </c>
      <c r="H11" s="66">
        <v>0.1978</v>
      </c>
      <c r="I11" s="66">
        <f>MAX(E11-$B$2,0)/365</f>
        <v>5.7534246575342465E-2</v>
      </c>
      <c r="J11" s="3">
        <f>BS_PRICE($B$5,D11,I11,$C$5,$D$5,MAX(H11+$E$2,0.01),"C")</f>
        <v>131.84103200888873</v>
      </c>
      <c r="K11" s="3">
        <f>BS_DELTA($B$5,D11,I11,$C$5,$D$5,MAX(H11+$E$2,0.01),"C")*F11*G11*$F$5*$B$5/100</f>
        <v>13146.829955795687</v>
      </c>
      <c r="L11" s="3">
        <f>0.5*BS_GAMMA($B$5,D11,I11,$C$5,$D$5,MAX(H11+$E$2,0.01))*F11*G11*$F$5*(0.01*$B$5)^2</f>
        <v>2183.389195346339</v>
      </c>
      <c r="M11" s="3">
        <f>BS_VEGA($B$5,D11,I11,$C$5,$D$5,MAX(H11+$E$2,0.01))*F11*G11*$F$5</f>
        <v>4969.5134463723944</v>
      </c>
      <c r="N11" s="3">
        <f>BS_THETA($B$5,D11,I11,$C$5,$D$5,MAX(H11+$E$2,0.01),"C")*F11*G11*$F$5</f>
        <v>-2282.6026040242709</v>
      </c>
    </row>
    <row r="12" spans="1:14" x14ac:dyDescent="0.3">
      <c r="A12" t="s">
        <v>82</v>
      </c>
      <c r="B12" t="s">
        <v>26</v>
      </c>
      <c r="C12" t="s">
        <v>81</v>
      </c>
      <c r="D12">
        <v>42250</v>
      </c>
      <c r="E12" s="59">
        <v>46339</v>
      </c>
      <c r="F12">
        <v>50</v>
      </c>
      <c r="G12">
        <v>1000</v>
      </c>
      <c r="H12" s="66">
        <v>0.1862</v>
      </c>
      <c r="I12" s="66">
        <f>MAX(E12-$B$2,0)/365</f>
        <v>5.7534246575342465E-2</v>
      </c>
      <c r="J12" s="3">
        <f>BS_PRICE($B$5,D12,I12,$C$5,$D$5,MAX(H12+$E$2,0.01),"C")</f>
        <v>11.58817253249366</v>
      </c>
      <c r="K12" s="3">
        <f>BS_DELTA($B$5,D12,I12,$C$5,$D$5,MAX(H12+$E$2,0.01),"C")*F12*G12*$F$5*$B$5/100</f>
        <v>2385.0821122011334</v>
      </c>
      <c r="L12" s="3">
        <f>0.5*BS_GAMMA($B$5,D12,I12,$C$5,$D$5,MAX(H12+$E$2,0.01))*F12*G12*$F$5*(0.01*$B$5)^2</f>
        <v>652.49355504843925</v>
      </c>
      <c r="M12" s="3">
        <f>BS_VEGA($B$5,D12,I12,$C$5,$D$5,MAX(H12+$E$2,0.01))*F12*G12*$F$5</f>
        <v>1398.0166021646071</v>
      </c>
      <c r="N12" s="3">
        <f>BS_THETA($B$5,D12,I12,$C$5,$D$5,MAX(H12+$E$2,0.01),"C")*F12*G12*$F$5</f>
        <v>-609.31125187272016</v>
      </c>
    </row>
    <row r="13" spans="1:14" x14ac:dyDescent="0.3">
      <c r="A13" t="s">
        <v>83</v>
      </c>
      <c r="B13" t="s">
        <v>26</v>
      </c>
      <c r="C13" t="s">
        <v>81</v>
      </c>
      <c r="D13">
        <v>42250</v>
      </c>
      <c r="E13" s="59">
        <v>46367</v>
      </c>
      <c r="F13">
        <v>-53</v>
      </c>
      <c r="G13">
        <v>1000</v>
      </c>
      <c r="H13" s="66">
        <v>0.1862</v>
      </c>
      <c r="I13" s="66">
        <f>MAX(E13-$B$2,0)/365</f>
        <v>0.13424657534246576</v>
      </c>
      <c r="J13" s="3">
        <f>BS_PRICE($B$5,D13,I13,$C$5,$D$5,MAX(H13+$E$2,0.01),"C")</f>
        <v>102.08449476328806</v>
      </c>
      <c r="K13" s="3">
        <f>BS_DELTA($B$5,D13,I13,$C$5,$D$5,MAX(H13+$E$2,0.01),"C")*F13*G13*$F$5*$B$5/100</f>
        <v>-11681.995418899345</v>
      </c>
      <c r="L13" s="3">
        <f>0.5*BS_GAMMA($B$5,D13,I13,$C$5,$D$5,MAX(H13+$E$2,0.01))*F13*G13*$F$5*(0.01*$B$5)^2</f>
        <v>-1558.4300728644005</v>
      </c>
      <c r="M13" s="3">
        <f>BS_VEGA($B$5,D13,I13,$C$5,$D$5,MAX(H13+$E$2,0.01))*F13*G13*$F$5</f>
        <v>-7791.1256431782012</v>
      </c>
      <c r="N13" s="3">
        <f>BS_THETA($B$5,D13,I13,$C$5,$D$5,MAX(H13+$E$2,0.01),"C")*F13*G13*$F$5</f>
        <v>1428.909458552419</v>
      </c>
    </row>
    <row r="14" spans="1:14" x14ac:dyDescent="0.3">
      <c r="A14" t="s">
        <v>84</v>
      </c>
      <c r="B14" t="s">
        <v>26</v>
      </c>
      <c r="C14" t="s">
        <v>85</v>
      </c>
      <c r="D14">
        <v>34750</v>
      </c>
      <c r="E14" s="59">
        <v>46367</v>
      </c>
      <c r="F14">
        <v>5</v>
      </c>
      <c r="G14">
        <v>1000</v>
      </c>
      <c r="H14" s="66">
        <v>0.23630000000000001</v>
      </c>
      <c r="I14" s="66">
        <f>MAX(E14-$B$2,0)/365</f>
        <v>0.13424657534246576</v>
      </c>
      <c r="J14" s="3">
        <f>BS_PRICE($B$5,D14,I14,$C$5,$D$5,MAX(H14+$E$2,0.01),"P")</f>
        <v>192.82014340189394</v>
      </c>
      <c r="K14" s="3">
        <f>BS_DELTA($B$5,D14,I14,$C$5,$D$5,MAX(H14+$E$2,0.01),"P")*F14*G14*$F$5*$B$5/100</f>
        <v>-1453.2284630200008</v>
      </c>
      <c r="L14" s="3">
        <f>0.5*BS_GAMMA($B$5,D14,I14,$C$5,$D$5,MAX(H14+$E$2,0.01))*F14*G14*$F$5*(0.01*$B$5)^2</f>
        <v>141.77308292258667</v>
      </c>
      <c r="M14" s="3">
        <f>BS_VEGA($B$5,D14,I14,$C$5,$D$5,MAX(H14+$E$2,0.01))*F14*G14*$F$5</f>
        <v>899.47835355383813</v>
      </c>
      <c r="N14" s="3">
        <f>BS_THETA($B$5,D14,I14,$C$5,$D$5,MAX(H14+$E$2,0.01),"P")*F14*G14*$F$5</f>
        <v>-223.21987385513529</v>
      </c>
    </row>
    <row r="15" spans="1:14" x14ac:dyDescent="0.3">
      <c r="A15" t="s">
        <v>86</v>
      </c>
      <c r="B15" t="s">
        <v>26</v>
      </c>
      <c r="C15" t="s">
        <v>81</v>
      </c>
      <c r="D15">
        <v>42250</v>
      </c>
      <c r="E15" s="59">
        <v>46458</v>
      </c>
      <c r="F15">
        <v>11</v>
      </c>
      <c r="G15">
        <v>1000</v>
      </c>
      <c r="H15" s="66">
        <v>0.1862</v>
      </c>
      <c r="I15" s="66">
        <f>MAX(E15-$B$2,0)/365</f>
        <v>0.38356164383561642</v>
      </c>
      <c r="J15" s="3">
        <f>BS_PRICE($B$5,D15,I15,$C$5,$D$5,MAX(H15+$E$2,0.01),"C")</f>
        <v>500.62599766064346</v>
      </c>
      <c r="K15" s="3">
        <f>BS_DELTA($B$5,D15,I15,$C$5,$D$5,MAX(H15+$E$2,0.01),"C")*F15*G15*$F$5*$B$5/100</f>
        <v>5868.3158974219641</v>
      </c>
      <c r="L15" s="3">
        <f>0.5*BS_GAMMA($B$5,D15,I15,$C$5,$D$5,MAX(H15+$E$2,0.01))*F15*G15*$F$5*(0.01*$B$5)^2</f>
        <v>348.22989886019883</v>
      </c>
      <c r="M15" s="3">
        <f>BS_VEGA($B$5,D15,I15,$C$5,$D$5,MAX(H15+$E$2,0.01))*F15*G15*$F$5</f>
        <v>4974.0586320480343</v>
      </c>
      <c r="N15" s="3">
        <f>BS_THETA($B$5,D15,I15,$C$5,$D$5,MAX(H15+$E$2,0.01),"C")*F15*G15*$F$5</f>
        <v>-304.85162141274105</v>
      </c>
    </row>
    <row r="16" spans="1:14" x14ac:dyDescent="0.3">
      <c r="A16" t="s">
        <v>87</v>
      </c>
      <c r="B16" t="s">
        <v>26</v>
      </c>
      <c r="C16" t="s">
        <v>85</v>
      </c>
      <c r="D16">
        <v>36500</v>
      </c>
      <c r="E16" s="59">
        <v>46458</v>
      </c>
      <c r="F16">
        <v>-49</v>
      </c>
      <c r="G16">
        <v>1000</v>
      </c>
      <c r="H16" s="66">
        <v>0.2228</v>
      </c>
      <c r="I16" s="66">
        <f>MAX(E16-$B$2,0)/365</f>
        <v>0.38356164383561642</v>
      </c>
      <c r="J16" s="3">
        <f>BS_PRICE($B$5,D16,I16,$C$5,$D$5,MAX(H16+$E$2,0.01),"P")</f>
        <v>1291.9404732715695</v>
      </c>
      <c r="K16" s="3">
        <f>BS_DELTA($B$5,D16,I16,$C$5,$D$5,MAX(H16+$E$2,0.01),"P")*F16*G16*$F$5*$B$5/100</f>
        <v>42102.516145289686</v>
      </c>
      <c r="L16" s="3">
        <f>0.5*BS_GAMMA($B$5,D16,I16,$C$5,$D$5,MAX(H16+$E$2,0.01))*F16*G16*$F$5*(0.01*$B$5)^2</f>
        <v>-1642.6569961984512</v>
      </c>
      <c r="M16" s="3">
        <f>BS_VEGA($B$5,D16,I16,$C$5,$D$5,MAX(H16+$E$2,0.01))*F16*G16*$F$5</f>
        <v>-28075.48330160114</v>
      </c>
      <c r="N16" s="3">
        <f>BS_THETA($B$5,D16,I16,$C$5,$D$5,MAX(H16+$E$2,0.01),"P")*F16*G16*$F$5</f>
        <v>2416.2758997152564</v>
      </c>
    </row>
    <row r="17" spans="1:14" x14ac:dyDescent="0.3">
      <c r="A17" t="s">
        <v>88</v>
      </c>
      <c r="B17" t="s">
        <v>26</v>
      </c>
      <c r="C17" t="s">
        <v>81</v>
      </c>
      <c r="D17">
        <v>42250</v>
      </c>
      <c r="E17" s="59">
        <v>46549</v>
      </c>
      <c r="F17">
        <v>19</v>
      </c>
      <c r="G17">
        <v>1000</v>
      </c>
      <c r="H17" s="66">
        <v>0.1862</v>
      </c>
      <c r="I17" s="66">
        <f>MAX(E17-$B$2,0)/365</f>
        <v>0.63287671232876708</v>
      </c>
      <c r="J17" s="3">
        <f>BS_PRICE($B$5,D17,I17,$C$5,$D$5,MAX(H17+$E$2,0.01),"C")</f>
        <v>852.89932148140326</v>
      </c>
      <c r="K17" s="3">
        <f>BS_DELTA($B$5,D17,I17,$C$5,$D$5,MAX(H17+$E$2,0.01),"C")*F17*G17*$F$5*$B$5/100</f>
        <v>12746.798644468961</v>
      </c>
      <c r="L17" s="3">
        <f>0.5*BS_GAMMA($B$5,D17,I17,$C$5,$D$5,MAX(H17+$E$2,0.01))*F17*G17*$F$5*(0.01*$B$5)^2</f>
        <v>529.79113544526751</v>
      </c>
      <c r="M17" s="3">
        <f>BS_VEGA($B$5,D17,I17,$C$5,$D$5,MAX(H17+$E$2,0.01))*F17*G17*$F$5</f>
        <v>12486.291658081605</v>
      </c>
      <c r="N17" s="3">
        <f>BS_THETA($B$5,D17,I17,$C$5,$D$5,MAX(H17+$E$2,0.01),"C")*F17*G17*$F$5</f>
        <v>-446.77296646271867</v>
      </c>
    </row>
    <row r="18" spans="1:14" x14ac:dyDescent="0.3">
      <c r="A18" t="s">
        <v>89</v>
      </c>
      <c r="B18" t="s">
        <v>26</v>
      </c>
      <c r="C18" t="s">
        <v>85</v>
      </c>
      <c r="D18">
        <v>36500</v>
      </c>
      <c r="E18" s="59">
        <v>46549</v>
      </c>
      <c r="F18">
        <v>29</v>
      </c>
      <c r="G18">
        <v>1000</v>
      </c>
      <c r="H18" s="66">
        <v>0.2228</v>
      </c>
      <c r="I18" s="66">
        <f>MAX(E18-$B$2,0)/365</f>
        <v>0.63287671232876708</v>
      </c>
      <c r="J18" s="3">
        <f>BS_PRICE($B$5,D18,I18,$C$5,$D$5,MAX(H18+$E$2,0.01),"P")</f>
        <v>1903.735243912502</v>
      </c>
      <c r="K18" s="3">
        <f>BS_DELTA($B$5,D18,I18,$C$5,$D$5,MAX(H18+$E$2,0.01),"P")*F18*G18*$F$5*$B$5/100</f>
        <v>-26939.26645912306</v>
      </c>
      <c r="L18" s="3">
        <f>0.5*BS_GAMMA($B$5,D18,I18,$C$5,$D$5,MAX(H18+$E$2,0.01))*F18*G18*$F$5*(0.01*$B$5)^2</f>
        <v>775.81582933696075</v>
      </c>
      <c r="M18" s="3">
        <f>BS_VEGA($B$5,D18,I18,$C$5,$D$5,MAX(H18+$E$2,0.01))*F18*G18*$F$5</f>
        <v>21878.771575517527</v>
      </c>
      <c r="N18" s="3">
        <f>BS_THETA($B$5,D18,I18,$C$5,$D$5,MAX(H18+$E$2,0.01),"P")*F18*G18*$F$5</f>
        <v>-1171.199487289774</v>
      </c>
    </row>
    <row r="19" spans="1:14" x14ac:dyDescent="0.3">
      <c r="A19" t="s">
        <v>90</v>
      </c>
      <c r="B19" t="s">
        <v>26</v>
      </c>
      <c r="C19" t="s">
        <v>91</v>
      </c>
      <c r="F19">
        <v>-1</v>
      </c>
      <c r="G19">
        <v>1000</v>
      </c>
      <c r="H19" s="66"/>
      <c r="I19" s="66">
        <v>0</v>
      </c>
      <c r="J19" s="3">
        <f>$B$5</f>
        <v>38500</v>
      </c>
      <c r="K19" s="3">
        <f>F19*G19*$F$5*$B$5/100</f>
        <v>-2541</v>
      </c>
      <c r="L19" s="3">
        <v>0</v>
      </c>
      <c r="M19" s="3">
        <v>0</v>
      </c>
      <c r="N19" s="3">
        <v>0</v>
      </c>
    </row>
    <row r="20" spans="1:14" x14ac:dyDescent="0.3">
      <c r="A20" t="s">
        <v>92</v>
      </c>
      <c r="B20" t="s">
        <v>20</v>
      </c>
      <c r="C20" t="s">
        <v>85</v>
      </c>
      <c r="D20">
        <v>17800</v>
      </c>
      <c r="E20" s="59">
        <v>46339</v>
      </c>
      <c r="F20">
        <v>49</v>
      </c>
      <c r="G20">
        <v>50</v>
      </c>
      <c r="H20" s="66">
        <v>0.26</v>
      </c>
      <c r="I20" s="66">
        <f>MAX(E20-$B$2,0)/365</f>
        <v>5.7534246575342465E-2</v>
      </c>
      <c r="J20" s="3">
        <f>BS_PRICE($B$6,D20,I20,$C$6,$D$6,MAX(H20+$E$2,0.01),"P")</f>
        <v>439.28406803122101</v>
      </c>
      <c r="K20" s="3">
        <f>BS_DELTA($B$6,D20,I20,$C$6,$D$6,MAX(H20+$E$2,0.01),"P")*F20*G20*$F$6*$B$6/100</f>
        <v>-27185.738056390546</v>
      </c>
      <c r="L20" s="3">
        <f>0.5*BS_GAMMA($B$6,D20,I20,$C$6,$D$6,MAX(H20+$E$2,0.01))*F20*G20*$F$6*(0.01*$B$6)^2</f>
        <v>1789.0307208425863</v>
      </c>
      <c r="M20" s="3">
        <f>BS_VEGA($B$6,D20,I20,$C$6,$D$6,MAX(H20+$E$2,0.01))*F20*G20*$F$6</f>
        <v>5352.3878004386415</v>
      </c>
      <c r="N20" s="3">
        <f>BS_THETA($B$6,D20,I20,$C$6,$D$6,MAX(H20+$E$2,0.01),"P")*F20*G20*$F$6</f>
        <v>-3260.9744904350937</v>
      </c>
    </row>
    <row r="21" spans="1:14" x14ac:dyDescent="0.3">
      <c r="A21" t="s">
        <v>93</v>
      </c>
      <c r="B21" t="s">
        <v>20</v>
      </c>
      <c r="C21" t="s">
        <v>81</v>
      </c>
      <c r="D21">
        <v>19600</v>
      </c>
      <c r="E21" s="59">
        <v>46339</v>
      </c>
      <c r="F21">
        <v>43</v>
      </c>
      <c r="G21">
        <v>50</v>
      </c>
      <c r="H21" s="66">
        <v>0.23619999999999999</v>
      </c>
      <c r="I21" s="66">
        <f>MAX(E21-$B$2,0)/365</f>
        <v>5.7534246575342465E-2</v>
      </c>
      <c r="J21" s="3">
        <f>BS_PRICE($B$6,D21,I21,$C$6,$D$6,MAX(H21+$E$2,0.01),"C")</f>
        <v>19.531501012122444</v>
      </c>
      <c r="K21" s="3">
        <f>BS_DELTA($B$6,D21,I21,$C$6,$D$6,MAX(H21+$E$2,0.01),"C")*F21*G21*$F$6*$B$6/100</f>
        <v>2346.2077756740637</v>
      </c>
      <c r="L21" s="3">
        <f>0.5*BS_GAMMA($B$6,D21,I21,$C$6,$D$6,MAX(H21+$E$2,0.01))*F21*G21*$F$6*(0.01*$B$6)^2</f>
        <v>431.03844711588323</v>
      </c>
      <c r="M21" s="3">
        <f>BS_VEGA($B$6,D21,I21,$C$6,$D$6,MAX(H21+$E$2,0.01))*F21*G21*$F$6</f>
        <v>1171.5270714433991</v>
      </c>
      <c r="N21" s="3">
        <f>BS_THETA($B$6,D21,I21,$C$6,$D$6,MAX(H21+$E$2,0.01),"C")*F21*G21*$F$6</f>
        <v>-661.46668360099147</v>
      </c>
    </row>
    <row r="22" spans="1:14" x14ac:dyDescent="0.3">
      <c r="A22" t="s">
        <v>94</v>
      </c>
      <c r="B22" t="s">
        <v>20</v>
      </c>
      <c r="C22" t="s">
        <v>81</v>
      </c>
      <c r="D22">
        <v>17800</v>
      </c>
      <c r="E22" s="59">
        <v>46367</v>
      </c>
      <c r="F22">
        <v>-51</v>
      </c>
      <c r="G22">
        <v>50</v>
      </c>
      <c r="H22" s="66">
        <v>0.26</v>
      </c>
      <c r="I22" s="66">
        <f>MAX(E22-$B$2,0)/365</f>
        <v>0.13424657534246576</v>
      </c>
      <c r="J22" s="3">
        <f>BS_PRICE($B$6,D22,I22,$C$6,$D$6,MAX(H22+$E$2,0.01),"C")</f>
        <v>678.78936401374426</v>
      </c>
      <c r="K22" s="3">
        <f>BS_DELTA($B$6,D22,I22,$C$6,$D$6,MAX(H22+$E$2,0.01),"C")*F22*G22*$F$6*$B$6/100</f>
        <v>-30315.6307835634</v>
      </c>
      <c r="L22" s="3">
        <f>0.5*BS_GAMMA($B$6,D22,I22,$C$6,$D$6,MAX(H22+$E$2,0.01))*F22*G22*$F$6*(0.01*$B$6)^2</f>
        <v>-1214.6928717622843</v>
      </c>
      <c r="M22" s="3">
        <f>BS_VEGA($B$6,D22,I22,$C$6,$D$6,MAX(H22+$E$2,0.01))*F22*G22*$F$6</f>
        <v>-8479.554622603564</v>
      </c>
      <c r="N22" s="3">
        <f>BS_THETA($B$6,D22,I22,$C$6,$D$6,MAX(H22+$E$2,0.01),"C")*F22*G22*$F$6</f>
        <v>2266.8120023491642</v>
      </c>
    </row>
    <row r="23" spans="1:14" x14ac:dyDescent="0.3">
      <c r="A23" t="s">
        <v>95</v>
      </c>
      <c r="B23" t="s">
        <v>20</v>
      </c>
      <c r="C23" t="s">
        <v>85</v>
      </c>
      <c r="D23">
        <v>17000</v>
      </c>
      <c r="E23" s="59">
        <v>46367</v>
      </c>
      <c r="F23">
        <v>-52</v>
      </c>
      <c r="G23">
        <v>50</v>
      </c>
      <c r="H23" s="66">
        <v>0.27279999999999999</v>
      </c>
      <c r="I23" s="66">
        <f>MAX(E23-$B$2,0)/365</f>
        <v>0.13424657534246576</v>
      </c>
      <c r="J23" s="3">
        <f>BS_PRICE($B$6,D23,I23,$C$6,$D$6,MAX(H23+$E$2,0.01),"P")</f>
        <v>360.02975149992363</v>
      </c>
      <c r="K23" s="3">
        <f>BS_DELTA($B$6,D23,I23,$C$6,$D$6,MAX(H23+$E$2,0.01),"P")*F23*G23*$F$6*$B$6/100</f>
        <v>17928.824241236212</v>
      </c>
      <c r="L23" s="3">
        <f>0.5*BS_GAMMA($B$6,D23,I23,$C$6,$D$6,MAX(H23+$E$2,0.01))*F23*G23*$F$6*(0.01*$B$6)^2</f>
        <v>-1034.4054694903271</v>
      </c>
      <c r="M23" s="3">
        <f>BS_VEGA($B$6,D23,I23,$C$6,$D$6,MAX(H23+$E$2,0.01))*F23*G23*$F$6</f>
        <v>-7576.4957763129296</v>
      </c>
      <c r="N23" s="3">
        <f>BS_THETA($B$6,D23,I23,$C$6,$D$6,MAX(H23+$E$2,0.01),"P")*F23*G23*$F$6</f>
        <v>2071.2967159366335</v>
      </c>
    </row>
    <row r="24" spans="1:14" x14ac:dyDescent="0.3">
      <c r="A24" t="s">
        <v>96</v>
      </c>
      <c r="B24" t="s">
        <v>20</v>
      </c>
      <c r="C24" t="s">
        <v>85</v>
      </c>
      <c r="D24">
        <v>16000</v>
      </c>
      <c r="E24" s="59">
        <v>46458</v>
      </c>
      <c r="F24">
        <v>-6</v>
      </c>
      <c r="G24">
        <v>50</v>
      </c>
      <c r="H24" s="66">
        <v>0.2863</v>
      </c>
      <c r="I24" s="66">
        <f>MAX(E24-$B$2,0)/365</f>
        <v>0.38356164383561642</v>
      </c>
      <c r="J24" s="3">
        <f>BS_PRICE($B$6,D24,I24,$C$6,$D$6,MAX(H24+$E$2,0.01),"P")</f>
        <v>486.78627974239697</v>
      </c>
      <c r="K24" s="3">
        <f>BS_DELTA($B$6,D24,I24,$C$6,$D$6,MAX(H24+$E$2,0.01),"P")*F24*G24*$F$6*$B$6/100</f>
        <v>1637.9290089179062</v>
      </c>
      <c r="L24" s="3">
        <f>0.5*BS_GAMMA($B$6,D24,I24,$C$6,$D$6,MAX(H24+$E$2,0.01))*F24*G24*$F$6*(0.01*$B$6)^2</f>
        <v>-59.630727812458709</v>
      </c>
      <c r="M24" s="3">
        <f>BS_VEGA($B$6,D24,I24,$C$6,$D$6,MAX(H24+$E$2,0.01))*F24*G24*$F$6</f>
        <v>-1309.6541546186136</v>
      </c>
      <c r="N24" s="3">
        <f>BS_THETA($B$6,D24,I24,$C$6,$D$6,MAX(H24+$E$2,0.01),"P")*F24*G24*$F$6</f>
        <v>129.61029322384252</v>
      </c>
    </row>
    <row r="25" spans="1:14" x14ac:dyDescent="0.3">
      <c r="A25" t="s">
        <v>97</v>
      </c>
      <c r="B25" t="s">
        <v>20</v>
      </c>
      <c r="C25" t="s">
        <v>81</v>
      </c>
      <c r="D25">
        <v>17800</v>
      </c>
      <c r="E25" s="59">
        <v>46458</v>
      </c>
      <c r="F25">
        <v>58</v>
      </c>
      <c r="G25">
        <v>50</v>
      </c>
      <c r="H25" s="66">
        <v>0.26</v>
      </c>
      <c r="I25" s="66">
        <f>MAX(E25-$B$2,0)/365</f>
        <v>0.38356164383561642</v>
      </c>
      <c r="J25" s="3">
        <f>BS_PRICE($B$6,D25,I25,$C$6,$D$6,MAX(H25+$E$2,0.01),"C")</f>
        <v>1142.8191722527251</v>
      </c>
      <c r="K25" s="3">
        <f>BS_DELTA($B$6,D25,I25,$C$6,$D$6,MAX(H25+$E$2,0.01),"C")*F25*G25*$F$6*$B$6/100</f>
        <v>35160.603940707828</v>
      </c>
      <c r="L25" s="3">
        <f>0.5*BS_GAMMA($B$6,D25,I25,$C$6,$D$6,MAX(H25+$E$2,0.01))*F25*G25*$F$6*(0.01*$B$6)^2</f>
        <v>807.91005188036115</v>
      </c>
      <c r="M25" s="3">
        <f>BS_VEGA($B$6,D25,I25,$C$6,$D$6,MAX(H25+$E$2,0.01))*F25*G25*$F$6</f>
        <v>16113.93199366857</v>
      </c>
      <c r="N25" s="3">
        <f>BS_THETA($B$6,D25,I25,$C$6,$D$6,MAX(H25+$E$2,0.01),"C")*F25*G25*$F$6</f>
        <v>-1497.7517198835089</v>
      </c>
    </row>
    <row r="26" spans="1:14" x14ac:dyDescent="0.3">
      <c r="A26" t="s">
        <v>98</v>
      </c>
      <c r="B26" t="s">
        <v>20</v>
      </c>
      <c r="C26" t="s">
        <v>85</v>
      </c>
      <c r="D26">
        <v>17000</v>
      </c>
      <c r="E26" s="59">
        <v>46549</v>
      </c>
      <c r="F26">
        <v>39</v>
      </c>
      <c r="G26">
        <v>50</v>
      </c>
      <c r="H26" s="66">
        <v>0.27279999999999999</v>
      </c>
      <c r="I26" s="66">
        <f>MAX(E26-$B$2,0)/365</f>
        <v>0.63287671232876708</v>
      </c>
      <c r="J26" s="3">
        <f>BS_PRICE($B$6,D26,I26,$C$6,$D$6,MAX(H26+$E$2,0.01),"P")</f>
        <v>1088.1555258502872</v>
      </c>
      <c r="K26" s="3">
        <f>BS_DELTA($B$6,D26,I26,$C$6,$D$6,MAX(H26+$E$2,0.01),"P")*F26*G26*$F$6*$B$6/100</f>
        <v>-16102.330253073762</v>
      </c>
      <c r="L26" s="3">
        <f>0.5*BS_GAMMA($B$6,D26,I26,$C$6,$D$6,MAX(H26+$E$2,0.01))*F26*G26*$F$6*(0.01*$B$6)^2</f>
        <v>379.38912544366622</v>
      </c>
      <c r="M26" s="3">
        <f>BS_VEGA($B$6,D26,I26,$C$6,$D$6,MAX(H26+$E$2,0.01))*F26*G26*$F$6</f>
        <v>13100.212953566261</v>
      </c>
      <c r="N26" s="3">
        <f>BS_THETA($B$6,D26,I26,$C$6,$D$6,MAX(H26+$E$2,0.01),"P")*F26*G26*$F$6</f>
        <v>-721.57409467764307</v>
      </c>
    </row>
    <row r="27" spans="1:14" x14ac:dyDescent="0.3">
      <c r="A27" t="s">
        <v>99</v>
      </c>
      <c r="B27" t="s">
        <v>20</v>
      </c>
      <c r="C27" t="s">
        <v>81</v>
      </c>
      <c r="D27">
        <v>19600</v>
      </c>
      <c r="E27" s="59">
        <v>46549</v>
      </c>
      <c r="F27">
        <v>-33</v>
      </c>
      <c r="G27">
        <v>50</v>
      </c>
      <c r="H27" s="66">
        <v>0.23619999999999999</v>
      </c>
      <c r="I27" s="66">
        <f>MAX(E27-$B$2,0)/365</f>
        <v>0.63287671232876708</v>
      </c>
      <c r="J27" s="3">
        <f>BS_PRICE($B$6,D27,I27,$C$6,$D$6,MAX(H27+$E$2,0.01),"C")</f>
        <v>680.8408490300933</v>
      </c>
      <c r="K27" s="3">
        <f>BS_DELTA($B$6,D27,I27,$C$6,$D$6,MAX(H27+$E$2,0.01),"C")*F27*G27*$F$6*$B$6/100</f>
        <v>-12704.191735572058</v>
      </c>
      <c r="L27" s="3">
        <f>0.5*BS_GAMMA($B$6,D27,I27,$C$6,$D$6,MAX(H27+$E$2,0.01))*F27*G27*$F$6*(0.01*$B$6)^2</f>
        <v>-361.74076480525537</v>
      </c>
      <c r="M27" s="3">
        <f>BS_VEGA($B$6,D27,I27,$C$6,$D$6,MAX(H27+$E$2,0.01))*F27*G27*$F$6</f>
        <v>-10814.998332853314</v>
      </c>
      <c r="N27" s="3">
        <f>BS_THETA($B$6,D27,I27,$C$6,$D$6,MAX(H27+$E$2,0.01),"C")*F27*G27*$F$6</f>
        <v>554.49357649801448</v>
      </c>
    </row>
    <row r="28" spans="1:14" x14ac:dyDescent="0.3">
      <c r="A28" t="s">
        <v>100</v>
      </c>
      <c r="B28" t="s">
        <v>20</v>
      </c>
      <c r="C28" t="s">
        <v>91</v>
      </c>
      <c r="F28">
        <v>-10</v>
      </c>
      <c r="G28">
        <v>50</v>
      </c>
      <c r="H28" s="66"/>
      <c r="I28" s="66">
        <v>0</v>
      </c>
      <c r="J28" s="3">
        <f>$B$6</f>
        <v>17800</v>
      </c>
      <c r="K28" s="3">
        <f>F28*G28*$F$6*$B$6/100</f>
        <v>-11445.4</v>
      </c>
      <c r="L28" s="3">
        <v>0</v>
      </c>
      <c r="M28" s="3">
        <v>0</v>
      </c>
      <c r="N28" s="3">
        <v>0</v>
      </c>
    </row>
    <row r="29" spans="1:14" x14ac:dyDescent="0.3">
      <c r="A29" t="s">
        <v>101</v>
      </c>
      <c r="B29" t="s">
        <v>22</v>
      </c>
      <c r="C29" t="s">
        <v>81</v>
      </c>
      <c r="D29">
        <v>24600</v>
      </c>
      <c r="E29" s="59">
        <v>46339</v>
      </c>
      <c r="F29">
        <v>5</v>
      </c>
      <c r="G29">
        <v>200</v>
      </c>
      <c r="H29" s="66">
        <v>0.16619999999999999</v>
      </c>
      <c r="I29" s="66">
        <f>MAX(E29-$B$2,0)/365</f>
        <v>5.7534246575342465E-2</v>
      </c>
      <c r="J29" s="3">
        <f>BS_PRICE($B$7,D29,I29,$C$7,$D$7,MAX(H29+$E$2,0.01),"C")</f>
        <v>2.7915571025025328</v>
      </c>
      <c r="K29" s="3">
        <f>BS_DELTA($B$7,D29,I29,$C$7,$D$7,MAX(H29+$E$2,0.01),"C")*F29*G29*$F$7*$B$7/100</f>
        <v>65.692758511243639</v>
      </c>
      <c r="L29" s="3">
        <f>0.5*BS_GAMMA($B$7,D29,I29,$C$7,$D$7,MAX(H29+$E$2,0.01))*F29*G29*$F$7*(0.01*$B$7)^2</f>
        <v>22.127452111782112</v>
      </c>
      <c r="M29" s="3">
        <f>BS_VEGA($B$7,D29,I29,$C$7,$D$7,MAX(H29+$E$2,0.01))*F29*G29*$F$7</f>
        <v>42.317388142762702</v>
      </c>
      <c r="N29" s="3">
        <f>BS_THETA($B$7,D29,I29,$C$7,$D$7,MAX(H29+$E$2,0.01),"C")*F29*G29*$F$7</f>
        <v>-16.508041502238793</v>
      </c>
    </row>
    <row r="30" spans="1:14" x14ac:dyDescent="0.3">
      <c r="A30" t="s">
        <v>102</v>
      </c>
      <c r="B30" t="s">
        <v>22</v>
      </c>
      <c r="C30" t="s">
        <v>85</v>
      </c>
      <c r="D30">
        <v>21300</v>
      </c>
      <c r="E30" s="59">
        <v>46339</v>
      </c>
      <c r="F30">
        <v>-15</v>
      </c>
      <c r="G30">
        <v>200</v>
      </c>
      <c r="H30" s="66">
        <v>0.20280000000000001</v>
      </c>
      <c r="I30" s="66">
        <f>MAX(E30-$B$2,0)/365</f>
        <v>5.7534246575342465E-2</v>
      </c>
      <c r="J30" s="3">
        <f>BS_PRICE($B$7,D30,I30,$C$7,$D$7,MAX(H30+$E$2,0.01),"P")</f>
        <v>85.121516050254925</v>
      </c>
      <c r="K30" s="3">
        <f>BS_DELTA($B$7,D30,I30,$C$7,$D$7,MAX(H30+$E$2,0.01),"P")*F30*G30*$F$7*$B$7/100</f>
        <v>3102.663284864067</v>
      </c>
      <c r="L30" s="3">
        <f>0.5*BS_GAMMA($B$7,D30,I30,$C$7,$D$7,MAX(H30+$E$2,0.01))*F30*G30*$F$7*(0.01*$B$7)^2</f>
        <v>-497.68490572770219</v>
      </c>
      <c r="M30" s="3">
        <f>BS_VEGA($B$7,D30,I30,$C$7,$D$7,MAX(H30+$E$2,0.01))*F30*G30*$F$7</f>
        <v>-1161.3920419250071</v>
      </c>
      <c r="N30" s="3">
        <f>BS_THETA($B$7,D30,I30,$C$7,$D$7,MAX(H30+$E$2,0.01),"P")*F30*G30*$F$7</f>
        <v>571.50959833870945</v>
      </c>
    </row>
    <row r="31" spans="1:14" x14ac:dyDescent="0.3">
      <c r="A31" t="s">
        <v>103</v>
      </c>
      <c r="B31" t="s">
        <v>22</v>
      </c>
      <c r="C31" t="s">
        <v>81</v>
      </c>
      <c r="D31">
        <v>23500</v>
      </c>
      <c r="E31" s="59">
        <v>46367</v>
      </c>
      <c r="F31">
        <v>-44</v>
      </c>
      <c r="G31">
        <v>200</v>
      </c>
      <c r="H31" s="66">
        <v>0.17780000000000001</v>
      </c>
      <c r="I31" s="66">
        <f>MAX(E31-$B$2,0)/365</f>
        <v>0.13424657534246576</v>
      </c>
      <c r="J31" s="3">
        <f>BS_PRICE($B$7,D31,I31,$C$7,$D$7,MAX(H31+$E$2,0.01),"C")</f>
        <v>191.18067184418879</v>
      </c>
      <c r="K31" s="3">
        <f>BS_DELTA($B$7,D31,I31,$C$7,$D$7,MAX(H31+$E$2,0.01),"C")*F31*G31*$F$7*$B$7/100</f>
        <v>-14255.490045963837</v>
      </c>
      <c r="L31" s="3">
        <f>0.5*BS_GAMMA($B$7,D31,I31,$C$7,$D$7,MAX(H31+$E$2,0.01))*F31*G31*$F$7*(0.01*$B$7)^2</f>
        <v>-1437.1416637085595</v>
      </c>
      <c r="M31" s="3">
        <f>BS_VEGA($B$7,D31,I31,$C$7,$D$7,MAX(H31+$E$2,0.01))*F31*G31*$F$7</f>
        <v>-6860.6386863351845</v>
      </c>
      <c r="N31" s="3">
        <f>BS_THETA($B$7,D31,I31,$C$7,$D$7,MAX(H31+$E$2,0.01),"C")*F31*G31*$F$7</f>
        <v>1191.7857511858879</v>
      </c>
    </row>
    <row r="32" spans="1:14" x14ac:dyDescent="0.3">
      <c r="A32" t="s">
        <v>104</v>
      </c>
      <c r="B32" t="s">
        <v>22</v>
      </c>
      <c r="C32" t="s">
        <v>81</v>
      </c>
      <c r="D32">
        <v>24600</v>
      </c>
      <c r="E32" s="59">
        <v>46367</v>
      </c>
      <c r="F32">
        <v>-31</v>
      </c>
      <c r="G32">
        <v>200</v>
      </c>
      <c r="H32" s="66">
        <v>0.16619999999999999</v>
      </c>
      <c r="I32" s="66">
        <f>MAX(E32-$B$2,0)/365</f>
        <v>0.13424657534246576</v>
      </c>
      <c r="J32" s="3">
        <f>BS_PRICE($B$7,D32,I32,$C$7,$D$7,MAX(H32+$E$2,0.01),"C")</f>
        <v>35.769927517264016</v>
      </c>
      <c r="K32" s="3">
        <f>BS_DELTA($B$7,D32,I32,$C$7,$D$7,MAX(H32+$E$2,0.01),"C")*F32*G32*$F$7*$B$7/100</f>
        <v>-2684.4172990559814</v>
      </c>
      <c r="L32" s="3">
        <f>0.5*BS_GAMMA($B$7,D32,I32,$C$7,$D$7,MAX(H32+$E$2,0.01))*F32*G32*$F$7*(0.01*$B$7)^2</f>
        <v>-434.19851555952727</v>
      </c>
      <c r="M32" s="3">
        <f>BS_VEGA($B$7,D32,I32,$C$7,$D$7,MAX(H32+$E$2,0.01))*F32*G32*$F$7</f>
        <v>-1937.5484224732479</v>
      </c>
      <c r="N32" s="3">
        <f>BS_THETA($B$7,D32,I32,$C$7,$D$7,MAX(H32+$E$2,0.01),"C")*F32*G32*$F$7</f>
        <v>318.74710118044987</v>
      </c>
    </row>
    <row r="33" spans="1:14" x14ac:dyDescent="0.3">
      <c r="A33" t="s">
        <v>105</v>
      </c>
      <c r="B33" t="s">
        <v>22</v>
      </c>
      <c r="C33" t="s">
        <v>85</v>
      </c>
      <c r="D33">
        <v>20200</v>
      </c>
      <c r="E33" s="59">
        <v>46458</v>
      </c>
      <c r="F33">
        <v>13</v>
      </c>
      <c r="G33">
        <v>200</v>
      </c>
      <c r="H33" s="66">
        <v>0.21629999999999999</v>
      </c>
      <c r="I33" s="66">
        <f>MAX(E33-$B$2,0)/365</f>
        <v>0.38356164383561642</v>
      </c>
      <c r="J33" s="3">
        <f>BS_PRICE($B$7,D33,I33,$C$7,$D$7,MAX(H33+$E$2,0.01),"P")</f>
        <v>380.24173828141272</v>
      </c>
      <c r="K33" s="3">
        <f>BS_DELTA($B$7,D33,I33,$C$7,$D$7,MAX(H33+$E$2,0.01),"P")*F33*G33*$F$7*$B$7/100</f>
        <v>-3800.8263191527017</v>
      </c>
      <c r="L33" s="3">
        <f>0.5*BS_GAMMA($B$7,D33,I33,$C$7,$D$7,MAX(H33+$E$2,0.01))*F33*G33*$F$7*(0.01*$B$7)^2</f>
        <v>194.14773375745071</v>
      </c>
      <c r="M33" s="3">
        <f>BS_VEGA($B$7,D33,I33,$C$7,$D$7,MAX(H33+$E$2,0.01))*F33*G33*$F$7</f>
        <v>3221.4694102154085</v>
      </c>
      <c r="N33" s="3">
        <f>BS_THETA($B$7,D33,I33,$C$7,$D$7,MAX(H33+$E$2,0.01),"P")*F33*G33*$F$7</f>
        <v>-261.12809020696972</v>
      </c>
    </row>
    <row r="34" spans="1:14" x14ac:dyDescent="0.3">
      <c r="A34" t="s">
        <v>106</v>
      </c>
      <c r="B34" t="s">
        <v>22</v>
      </c>
      <c r="C34" t="s">
        <v>81</v>
      </c>
      <c r="D34">
        <v>23500</v>
      </c>
      <c r="E34" s="59">
        <v>46458</v>
      </c>
      <c r="F34">
        <v>19</v>
      </c>
      <c r="G34">
        <v>200</v>
      </c>
      <c r="H34" s="66">
        <v>0.17780000000000001</v>
      </c>
      <c r="I34" s="66">
        <f>MAX(E34-$B$2,0)/365</f>
        <v>0.38356164383561642</v>
      </c>
      <c r="J34" s="3">
        <f>BS_PRICE($B$7,D34,I34,$C$7,$D$7,MAX(H34+$E$2,0.01),"C")</f>
        <v>510.35986083542264</v>
      </c>
      <c r="K34" s="3">
        <f>BS_DELTA($B$7,D34,I34,$C$7,$D$7,MAX(H34+$E$2,0.01),"C")*F34*G34*$F$7*$B$7/100</f>
        <v>8807.1446403047921</v>
      </c>
      <c r="L34" s="3">
        <f>0.5*BS_GAMMA($B$7,D34,I34,$C$7,$D$7,MAX(H34+$E$2,0.01))*F34*G34*$F$7*(0.01*$B$7)^2</f>
        <v>434.73381736218096</v>
      </c>
      <c r="M34" s="3">
        <f>BS_VEGA($B$7,D34,I34,$C$7,$D$7,MAX(H34+$E$2,0.01))*F34*G34*$F$7</f>
        <v>5929.5310585092639</v>
      </c>
      <c r="N34" s="3">
        <f>BS_THETA($B$7,D34,I34,$C$7,$D$7,MAX(H34+$E$2,0.01),"C")*F34*G34*$F$7</f>
        <v>-342.67066876628087</v>
      </c>
    </row>
    <row r="35" spans="1:14" x14ac:dyDescent="0.3">
      <c r="A35" t="s">
        <v>107</v>
      </c>
      <c r="B35" t="s">
        <v>22</v>
      </c>
      <c r="C35" t="s">
        <v>81</v>
      </c>
      <c r="D35">
        <v>24600</v>
      </c>
      <c r="E35" s="59">
        <v>46549</v>
      </c>
      <c r="F35">
        <v>56</v>
      </c>
      <c r="G35">
        <v>200</v>
      </c>
      <c r="H35" s="66">
        <v>0.16619999999999999</v>
      </c>
      <c r="I35" s="66">
        <f>MAX(E35-$B$2,0)/365</f>
        <v>0.63287671232876708</v>
      </c>
      <c r="J35" s="3">
        <f>BS_PRICE($B$7,D35,I35,$C$7,$D$7,MAX(H35+$E$2,0.01),"C")</f>
        <v>386.87958356160789</v>
      </c>
      <c r="K35" s="3">
        <f>BS_DELTA($B$7,D35,I35,$C$7,$D$7,MAX(H35+$E$2,0.01),"C")*F35*G35*$F$7*$B$7/100</f>
        <v>18494.614320128421</v>
      </c>
      <c r="L35" s="3">
        <f>0.5*BS_GAMMA($B$7,D35,I35,$C$7,$D$7,MAX(H35+$E$2,0.01))*F35*G35*$F$7*(0.01*$B$7)^2</f>
        <v>905.07154664984807</v>
      </c>
      <c r="M35" s="3">
        <f>BS_VEGA($B$7,D35,I35,$C$7,$D$7,MAX(H35+$E$2,0.01))*F35*G35*$F$7</f>
        <v>19039.828949748106</v>
      </c>
      <c r="N35" s="3">
        <f>BS_THETA($B$7,D35,I35,$C$7,$D$7,MAX(H35+$E$2,0.01),"C")*F35*G35*$F$7</f>
        <v>-613.51226928510334</v>
      </c>
    </row>
    <row r="36" spans="1:14" x14ac:dyDescent="0.3">
      <c r="A36" t="s">
        <v>108</v>
      </c>
      <c r="B36" t="s">
        <v>22</v>
      </c>
      <c r="C36" t="s">
        <v>81</v>
      </c>
      <c r="D36">
        <v>23500</v>
      </c>
      <c r="E36" s="59">
        <v>46549</v>
      </c>
      <c r="F36">
        <v>43</v>
      </c>
      <c r="G36">
        <v>200</v>
      </c>
      <c r="H36" s="66">
        <v>0.17780000000000001</v>
      </c>
      <c r="I36" s="66">
        <f>MAX(E36-$B$2,0)/365</f>
        <v>0.63287671232876708</v>
      </c>
      <c r="J36" s="3">
        <f>BS_PRICE($B$7,D36,I36,$C$7,$D$7,MAX(H36+$E$2,0.01),"C")</f>
        <v>740.05614330006551</v>
      </c>
      <c r="K36" s="3">
        <f>BS_DELTA($B$7,D36,I36,$C$7,$D$7,MAX(H36+$E$2,0.01),"C")*F36*G36*$F$7*$B$7/100</f>
        <v>21970.188793968471</v>
      </c>
      <c r="L36" s="3">
        <f>0.5*BS_GAMMA($B$7,D36,I36,$C$7,$D$7,MAX(H36+$E$2,0.01))*F36*G36*$F$7*(0.01*$B$7)^2</f>
        <v>789.52227011201967</v>
      </c>
      <c r="M36" s="3">
        <f>BS_VEGA($B$7,D36,I36,$C$7,$D$7,MAX(H36+$E$2,0.01))*F36*G36*$F$7</f>
        <v>17768.274396485944</v>
      </c>
      <c r="N36" s="3">
        <f>BS_THETA($B$7,D36,I36,$C$7,$D$7,MAX(H36+$E$2,0.01),"C")*F36*G36*$F$7</f>
        <v>-597.39887292374658</v>
      </c>
    </row>
    <row r="37" spans="1:14" x14ac:dyDescent="0.3">
      <c r="A37" t="s">
        <v>109</v>
      </c>
      <c r="B37" t="s">
        <v>22</v>
      </c>
      <c r="C37" t="s">
        <v>91</v>
      </c>
      <c r="F37">
        <v>5</v>
      </c>
      <c r="G37">
        <v>200</v>
      </c>
      <c r="H37" s="66"/>
      <c r="I37" s="66">
        <v>0</v>
      </c>
      <c r="J37" s="3">
        <f>$B$7</f>
        <v>22400</v>
      </c>
      <c r="K37" s="3">
        <f>F37*G37*$F$7*$B$7/100</f>
        <v>6988.8</v>
      </c>
      <c r="L37" s="3">
        <v>0</v>
      </c>
      <c r="M37" s="3">
        <v>0</v>
      </c>
      <c r="N37" s="3">
        <v>0</v>
      </c>
    </row>
    <row r="38" spans="1:14" x14ac:dyDescent="0.3">
      <c r="A38" s="1" t="s">
        <v>110</v>
      </c>
      <c r="J38" s="3"/>
      <c r="K38" s="65">
        <f>SUM(K11:K37)</f>
        <v>31642.696685675735</v>
      </c>
      <c r="L38" s="65">
        <f>SUM(L11:L37)</f>
        <v>2143.8818743066045</v>
      </c>
      <c r="M38" s="65">
        <f>SUM(M11:M37)</f>
        <v>54338.720308055155</v>
      </c>
      <c r="N38" s="65">
        <f>SUM(N11:N37)</f>
        <v>-2061.5023392185594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Report</vt:lpstr>
      <vt:lpstr>WhatIf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Vaibhav Yadav</dc:creator>
  <cp:lastModifiedBy>Vaibhav Yadav</cp:lastModifiedBy>
  <dcterms:created xsi:type="dcterms:W3CDTF">2026-10-24T08:59:12Z</dcterms:created>
  <dcterms:modified xsi:type="dcterms:W3CDTF">2026-10-24T09:01:18Z</dcterms:modified>
</cp:coreProperties>
</file>